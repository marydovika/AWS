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WS-Gen4\BOM\"/>
    </mc:Choice>
  </mc:AlternateContent>
  <bookViews>
    <workbookView xWindow="0" yWindow="0" windowWidth="23040" windowHeight="925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41" i="1" l="1"/>
  <c r="E39" i="1"/>
  <c r="E21" i="1"/>
  <c r="E4" i="1" l="1"/>
  <c r="E36" i="1" l="1"/>
  <c r="E35" i="1"/>
  <c r="E34" i="1"/>
  <c r="E33" i="1"/>
  <c r="E32" i="1"/>
  <c r="E31" i="1"/>
  <c r="E30" i="1"/>
  <c r="E29" i="1"/>
  <c r="E28" i="1"/>
  <c r="E27" i="1"/>
  <c r="E37" i="1" s="1"/>
  <c r="E22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" i="1"/>
  <c r="E23" i="1" s="1"/>
</calcChain>
</file>

<file path=xl/sharedStrings.xml><?xml version="1.0" encoding="utf-8"?>
<sst xmlns="http://schemas.openxmlformats.org/spreadsheetml/2006/main" count="139" uniqueCount="102">
  <si>
    <t>GATE WAY BOARD</t>
  </si>
  <si>
    <t>Descripton</t>
  </si>
  <si>
    <t>Unit price (UGX)</t>
  </si>
  <si>
    <t xml:space="preserve">ESP32 WROOM </t>
  </si>
  <si>
    <t>micro controller</t>
  </si>
  <si>
    <t>https://nerikoelectronics.com/product/esp32-esp-32-wifi-bluetooth-dual-core-520kb-sram-4mb-flash-FlLeWN</t>
  </si>
  <si>
    <t>uganda</t>
  </si>
  <si>
    <t xml:space="preserve">SM7000E </t>
  </si>
  <si>
    <t>GSM</t>
  </si>
  <si>
    <t>https://nerikoelectronics.com/product/sim7000e-4g-lte-mobile-iot-modules-development-board-qvPW1l</t>
  </si>
  <si>
    <t>DS3231MZ_TRL</t>
  </si>
  <si>
    <t>RTC</t>
  </si>
  <si>
    <t>https://www.bbiri-centre.com/product-page/real-time-clock-rtc</t>
  </si>
  <si>
    <t>Ai-Thinker RA-08H</t>
  </si>
  <si>
    <t>https://www.bbiri-centre.com/product-page/ra-08h-lorawan-rf-module-with-asr6601-chip-lora-868mhz</t>
  </si>
  <si>
    <t>MEM2067</t>
  </si>
  <si>
    <t>https://nerikoelectronics.com/product/micro-sd-card-module-spi-interface-tf-card-reader-535lX4</t>
  </si>
  <si>
    <t>MAX 485 MODULE</t>
  </si>
  <si>
    <t>RS485</t>
  </si>
  <si>
    <t>https://nerikoelectronics.com/product/5v-max485-rs485-module-ttl-to-rs485-module-RzQphe</t>
  </si>
  <si>
    <t>RESISTOR PACK</t>
  </si>
  <si>
    <t>resistors</t>
  </si>
  <si>
    <t>https://nerikoelectronics.com/product/17-values-1-resistor-kit-assortment-0-ohm-1m-ohm-pack-of-525-WPaFoO</t>
  </si>
  <si>
    <t>CAPACITOR PACK</t>
  </si>
  <si>
    <t>capacitors</t>
  </si>
  <si>
    <t>https://www.bbiri-centre.com/product-page/500pcs-24-values-radial-electrolytic-capacitor-0-1uf-1000uf-assortment-kit</t>
  </si>
  <si>
    <t>JST XH 2.54 4 Pin</t>
  </si>
  <si>
    <t>4 pin connector</t>
  </si>
  <si>
    <t>https://www.bbiri-centre.com/product-page/jst-xh-2-0-4-pin-connectors-1</t>
  </si>
  <si>
    <t>JST PH 2.54 2 Pin</t>
  </si>
  <si>
    <t>2 pin connecctor</t>
  </si>
  <si>
    <t>https://www.bbiri-centre.com/product-page/jst-ph-2-0-2-pin-connector</t>
  </si>
  <si>
    <t>JST XH 2.54 3</t>
  </si>
  <si>
    <t>3 pin connector</t>
  </si>
  <si>
    <t>https://www.bbiri-centre.com/product-page/jst-xh-2-0-3-pin-connector-1</t>
  </si>
  <si>
    <t>push buttons</t>
  </si>
  <si>
    <t>https://www.bbiri-centre.com/product-page/momentary-push-button-switch</t>
  </si>
  <si>
    <t>2N2222A –NPN</t>
  </si>
  <si>
    <t>npn transistor</t>
  </si>
  <si>
    <t>https://www.bbiri-centre.com/product-page/2n2222a-npn-transistor</t>
  </si>
  <si>
    <t>GL5506</t>
  </si>
  <si>
    <t>ldr light sensor</t>
  </si>
  <si>
    <t>https://www.bbiri-centre.com/product-page/ldr-light-dependent-resistor</t>
  </si>
  <si>
    <t xml:space="preserve">A3144 </t>
  </si>
  <si>
    <t>hall effect sensor</t>
  </si>
  <si>
    <t>https://www.bbiri-centre.com/product-page/a3144-hall-effect-sensor</t>
  </si>
  <si>
    <t>REED swtch</t>
  </si>
  <si>
    <t>reed switch</t>
  </si>
  <si>
    <t>https://nerikoelectronics.com/product/reed-switch-magnetic-sensor-module-iblLbI</t>
  </si>
  <si>
    <t>LED PACK</t>
  </si>
  <si>
    <t>https://www.bbiri-centre.com/product-page/100pcs-5mm-light-emitting-diode-assorted-color-white-red-yellow-green-blue-kit</t>
  </si>
  <si>
    <t>diodes</t>
  </si>
  <si>
    <t>rectifier diodes</t>
  </si>
  <si>
    <t>https://www.bbiri-centre.com/product-page/1n4007-1a-1000v-general-purpose-rectifier-diode</t>
  </si>
  <si>
    <t>screw terminal</t>
  </si>
  <si>
    <t>https://nerikoelectronics.com/product/blue-2-pin-screw-terminal-block-connector-508mm-pitch-f8gbtA</t>
  </si>
  <si>
    <t>POWER BOARD</t>
  </si>
  <si>
    <t>BQ24650RVAR</t>
  </si>
  <si>
    <t>solar mppt</t>
  </si>
  <si>
    <t>https://www.aliexpress.com/item/1005005735492601.html?irclickid=xph2texiNxycWnPRCl1jcXoGUkpRoVRwJVWV280&amp;sharedid=&amp;irpid=5610093&amp;irgwc=1&amp;afsrc=1&amp;isdl=y&amp;aff_short_key=_DBnlUXN&amp;aff_platform=true&amp;aff_fsk=_DBnlUXN</t>
  </si>
  <si>
    <t>china</t>
  </si>
  <si>
    <t>XL4015 5A</t>
  </si>
  <si>
    <t>https://www.bbiri-centre.com/product-page/xl4015-5a-dc-to-dc-buck-converter-step-down-module</t>
  </si>
  <si>
    <t>LM1117T</t>
  </si>
  <si>
    <t>3.3V regulator 0.8A</t>
  </si>
  <si>
    <t>https://nerikoelectronics.com/product/lm1117-lm1117t-33v-08a-lm1117t-33-voltage-regulator-lm1117-33-to-220-3-a4TnQU</t>
  </si>
  <si>
    <t>T73 JQC-3FF-S-Z</t>
  </si>
  <si>
    <t>power mux relay</t>
  </si>
  <si>
    <t>https://www.bbiri-centre.com/product-page/3-3v-5v-relay-10a-30vdc-250vac</t>
  </si>
  <si>
    <t>3S 40A CMB</t>
  </si>
  <si>
    <t>3S bms</t>
  </si>
  <si>
    <t>https://www.bbiri-centre.com/product-page/charge-management-board-cmb</t>
  </si>
  <si>
    <t>4S 40A 18650</t>
  </si>
  <si>
    <t>4S BMS</t>
  </si>
  <si>
    <t>https://www.bbiri-centre.com/product-page/4s-40a-18650-li-ion-lithium-battery-charger-4s-bms-board</t>
  </si>
  <si>
    <t>LM393</t>
  </si>
  <si>
    <t>voltage comparator</t>
  </si>
  <si>
    <t>https://www.bbiri-centre.com/product-page/lm393-new-dual-voltage-comparator-dual-diff-comparator-dip-8</t>
  </si>
  <si>
    <t>3 Pin ON/OFF Slide</t>
  </si>
  <si>
    <t>https://nerikoelectronics.com/product/3-pin-onoff-slide-switch-HveTEN</t>
  </si>
  <si>
    <t>power switch</t>
  </si>
  <si>
    <t>switch</t>
  </si>
  <si>
    <t>https://www.bbiri-centre.com/product-page/mini-power-on-off-switch-2-pin-snap-in-button-rocker-switch</t>
  </si>
  <si>
    <t xml:space="preserve">GRAND TOTAL </t>
  </si>
  <si>
    <t>Country</t>
  </si>
  <si>
    <t>Link</t>
  </si>
  <si>
    <t>Total price (UGX)</t>
  </si>
  <si>
    <t>Quantity</t>
  </si>
  <si>
    <t>Component name</t>
  </si>
  <si>
    <t>Description</t>
  </si>
  <si>
    <t>5A buck converter</t>
  </si>
  <si>
    <t>LEDs</t>
  </si>
  <si>
    <t>LoRA</t>
  </si>
  <si>
    <t>Micro SD</t>
  </si>
  <si>
    <t>slide switch</t>
  </si>
  <si>
    <t xml:space="preserve">SUB-TOTAL </t>
  </si>
  <si>
    <t>SUB-TOTAL</t>
  </si>
  <si>
    <t>https://www.aliexpress.com/item/1005008851115917.html?spm=a2g0o.detail.pcDetailTopMoreOtherSeller.4.5cdaBvJPBvJP21&amp;gps-id=pcDetailTopMoreOtherSeller&amp;scm=1007.40050.354490.0&amp;scm_id=1007.40050.354490.0&amp;scm-url=1007.40050.354490.0&amp;pvid=0a933d2d-187c-4820-8633-d3d7d0d33b92&amp;_t=gps-id:pcDetailTopMoreOtherSeller,scm-url:1007.40050.354490.0,pvid:0a933d2d-187c-4820-8633-d3d7d0d33b92,tpp_buckets:668%232846%238109%231935&amp;isseo=y&amp;pdp_ext_f=%7B%22order%22%3A%223886%22%2C%22eval%22%3A%221%22%2C%22sceneId%22%3A%2230050%22%2C%22fromPage%22%3A%22recommend%22%7D&amp;pdp_npi=6%40dis%21USD%214.92%214.92%21%21%2134.85%2134.85%21%402103963717629387444661791e0b45%2112000046942408254%21rec%21MU%21%21ABX%211%210%21n_tag%3A-29910%3Bd%3A4f7639a2%3Bm03_new_user%3A-29895&amp;utparam-url=scene%3ApcDetailTopMoreOtherSeller%7Cquery_from%3A%7Cx_object_id%3A1005008851115917%7C_p_origin_prod%3A</t>
  </si>
  <si>
    <t>ESP32 DevKitC WIFI+Bluetooth Development Board WROOM &amp; WIFI Module with 2.4G Antenna Optional ESP32-WROOM-32U Development Board</t>
  </si>
  <si>
    <t>ESP32 DevKitC</t>
  </si>
  <si>
    <t>Altium Power Analyzer</t>
  </si>
  <si>
    <t xml:space="preserve"> Keysight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</si>
</sst>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 applyFont="1" applyAlignment="1"/>
    <xf numFmtId="0" fontId="1" fillId="0" borderId="4" xfId="0" applyFont="1" applyBorder="1" applyAlignment="1"/>
    <xf numFmtId="0" fontId="1" fillId="0" borderId="0" xfId="0" applyFont="1" applyAlignment="1"/>
    <xf numFmtId="0" fontId="1" fillId="0" borderId="5" xfId="0" applyFont="1" applyBorder="1" applyAlignment="1"/>
    <xf numFmtId="3" fontId="1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3" fontId="4" fillId="0" borderId="0" xfId="0" applyNumberFormat="1" applyFont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7" xfId="0" applyNumberFormat="1" applyFont="1" applyBorder="1" applyAlignment="1"/>
    <xf numFmtId="3" fontId="4" fillId="0" borderId="7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0" xfId="1" applyAlignment="1"/>
    <xf numFmtId="0" fontId="6" fillId="0" borderId="5" xfId="0" applyFont="1" applyBorder="1" applyAlignment="1"/>
    <xf numFmtId="0" fontId="11" fillId="0" borderId="0" xfId="0" applyFont="1" applyAlignment="1"/>
    <xf numFmtId="0" fontId="10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0" borderId="6" xfId="0" applyFont="1" applyBorder="1" applyAlignment="1"/>
    <xf numFmtId="0" fontId="7" fillId="0" borderId="7" xfId="0" applyFont="1" applyBorder="1"/>
    <xf numFmtId="0" fontId="4" fillId="0" borderId="0" xfId="0" applyFont="1" applyBorder="1" applyAlignment="1"/>
    <xf numFmtId="0" fontId="7" fillId="0" borderId="0" xfId="0" applyFont="1" applyBorder="1"/>
    <xf numFmtId="3" fontId="4" fillId="0" borderId="0" xfId="0" applyNumberFormat="1" applyFont="1" applyBorder="1"/>
    <xf numFmtId="0" fontId="4" fillId="0" borderId="0" xfId="0" applyFont="1" applyBorder="1"/>
    <xf numFmtId="0" fontId="12" fillId="0" borderId="0" xfId="0" applyFont="1" applyBorder="1"/>
    <xf numFmtId="0" fontId="6" fillId="0" borderId="0" xfId="0" applyFont="1" applyBorder="1" applyAlignment="1"/>
    <xf numFmtId="4" fontId="7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biri-centre.com/product-page/500pcs-24-values-radial-electrolytic-capacitor-0-1uf-1000uf-assortment-kit" TargetMode="External"/><Relationship Id="rId13" Type="http://schemas.openxmlformats.org/officeDocument/2006/relationships/hyperlink" Target="https://www.bbiri-centre.com/product-page/2n2222a-npn-transistor" TargetMode="External"/><Relationship Id="rId18" Type="http://schemas.openxmlformats.org/officeDocument/2006/relationships/hyperlink" Target="https://www.bbiri-centre.com/product-page/1n4007-1a-1000v-general-purpose-rectifier-diode" TargetMode="External"/><Relationship Id="rId26" Type="http://schemas.openxmlformats.org/officeDocument/2006/relationships/hyperlink" Target="https://www.bbiri-centre.com/product-page/lm393-new-dual-voltage-comparator-dual-diff-comparator-dip-8" TargetMode="External"/><Relationship Id="rId3" Type="http://schemas.openxmlformats.org/officeDocument/2006/relationships/hyperlink" Target="https://www.bbiri-centre.com/product-page/real-time-clock-rtc" TargetMode="External"/><Relationship Id="rId21" Type="http://schemas.openxmlformats.org/officeDocument/2006/relationships/hyperlink" Target="https://www.bbiri-centre.com/product-page/xl4015-5a-dc-to-dc-buck-converter-step-down-module" TargetMode="External"/><Relationship Id="rId7" Type="http://schemas.openxmlformats.org/officeDocument/2006/relationships/hyperlink" Target="https://nerikoelectronics.com/product/17-values-1-resistor-kit-assortment-0-ohm-1m-ohm-pack-of-525-WPaFoO" TargetMode="External"/><Relationship Id="rId12" Type="http://schemas.openxmlformats.org/officeDocument/2006/relationships/hyperlink" Target="https://www.bbiri-centre.com/product-page/momentary-push-button-switch" TargetMode="External"/><Relationship Id="rId17" Type="http://schemas.openxmlformats.org/officeDocument/2006/relationships/hyperlink" Target="https://www.bbiri-centre.com/product-page/100pcs-5mm-light-emitting-diode-assorted-color-white-red-yellow-green-blue-kit" TargetMode="External"/><Relationship Id="rId25" Type="http://schemas.openxmlformats.org/officeDocument/2006/relationships/hyperlink" Target="https://www.bbiri-centre.com/product-page/4s-40a-18650-li-ion-lithium-battery-charger-4s-bms-board" TargetMode="External"/><Relationship Id="rId2" Type="http://schemas.openxmlformats.org/officeDocument/2006/relationships/hyperlink" Target="https://nerikoelectronics.com/product/sim7000e-4g-lte-mobile-iot-modules-development-board-qvPW1l" TargetMode="External"/><Relationship Id="rId16" Type="http://schemas.openxmlformats.org/officeDocument/2006/relationships/hyperlink" Target="https://nerikoelectronics.com/product/reed-switch-magnetic-sensor-module-iblLbI" TargetMode="External"/><Relationship Id="rId20" Type="http://schemas.openxmlformats.org/officeDocument/2006/relationships/hyperlink" Target="https://www.aliexpress.com/item/1005005735492601.html?irclickid=xph2texiNxycWnPRCl1jcXoGUkpRoVRwJVWV280&amp;sharedid=&amp;irpid=5610093&amp;irgwc=1&amp;afsrc=1&amp;isdl=y&amp;aff_short_key=_DBnlUXN&amp;aff_platform=true&amp;aff_fsk=_DBnlUXN" TargetMode="External"/><Relationship Id="rId29" Type="http://schemas.openxmlformats.org/officeDocument/2006/relationships/hyperlink" Target="https://www.bbiri-centre.com/product-page/mini-power-on-off-switch-2-pin-snap-in-button-rocker-switch" TargetMode="External"/><Relationship Id="rId1" Type="http://schemas.openxmlformats.org/officeDocument/2006/relationships/hyperlink" Target="https://nerikoelectronics.com/product/esp32-esp-32-wifi-bluetooth-dual-core-520kb-sram-4mb-flash-FlLeWN" TargetMode="External"/><Relationship Id="rId6" Type="http://schemas.openxmlformats.org/officeDocument/2006/relationships/hyperlink" Target="https://nerikoelectronics.com/product/5v-max485-rs485-module-ttl-to-rs485-module-RzQphe" TargetMode="External"/><Relationship Id="rId11" Type="http://schemas.openxmlformats.org/officeDocument/2006/relationships/hyperlink" Target="https://www.bbiri-centre.com/product-page/jst-xh-2-0-3-pin-connector-1" TargetMode="External"/><Relationship Id="rId24" Type="http://schemas.openxmlformats.org/officeDocument/2006/relationships/hyperlink" Target="https://www.bbiri-centre.com/product-page/charge-management-board-cmb" TargetMode="External"/><Relationship Id="rId5" Type="http://schemas.openxmlformats.org/officeDocument/2006/relationships/hyperlink" Target="https://nerikoelectronics.com/product/micro-sd-card-module-spi-interface-tf-card-reader-535lX4" TargetMode="External"/><Relationship Id="rId15" Type="http://schemas.openxmlformats.org/officeDocument/2006/relationships/hyperlink" Target="https://www.bbiri-centre.com/product-page/a3144-hall-effect-sensor" TargetMode="External"/><Relationship Id="rId23" Type="http://schemas.openxmlformats.org/officeDocument/2006/relationships/hyperlink" Target="https://www.bbiri-centre.com/product-page/3-3v-5v-relay-10a-30vdc-250vac" TargetMode="External"/><Relationship Id="rId28" Type="http://schemas.openxmlformats.org/officeDocument/2006/relationships/hyperlink" Target="https://nerikoelectronics.com/product/3-pin-onoff-slide-switch-HveTEN" TargetMode="External"/><Relationship Id="rId10" Type="http://schemas.openxmlformats.org/officeDocument/2006/relationships/hyperlink" Target="https://www.bbiri-centre.com/product-page/jst-ph-2-0-2-pin-connector" TargetMode="External"/><Relationship Id="rId19" Type="http://schemas.openxmlformats.org/officeDocument/2006/relationships/hyperlink" Target="https://nerikoelectronics.com/product/blue-2-pin-screw-terminal-block-connector-508mm-pitch-f8gbtA" TargetMode="External"/><Relationship Id="rId4" Type="http://schemas.openxmlformats.org/officeDocument/2006/relationships/hyperlink" Target="https://www.bbiri-centre.com/product-page/ra-08h-lorawan-rf-module-with-asr6601-chip-lora-868mhz" TargetMode="External"/><Relationship Id="rId9" Type="http://schemas.openxmlformats.org/officeDocument/2006/relationships/hyperlink" Target="https://www.bbiri-centre.com/product-page/jst-xh-2-0-4-pin-connectors-1" TargetMode="External"/><Relationship Id="rId14" Type="http://schemas.openxmlformats.org/officeDocument/2006/relationships/hyperlink" Target="https://www.bbiri-centre.com/product-page/ldr-light-dependent-resistor" TargetMode="External"/><Relationship Id="rId22" Type="http://schemas.openxmlformats.org/officeDocument/2006/relationships/hyperlink" Target="https://nerikoelectronics.com/product/lm1117-lm1117t-33v-08a-lm1117t-33-voltage-regulator-lm1117-33-to-220-3-a4TnQU" TargetMode="External"/><Relationship Id="rId27" Type="http://schemas.openxmlformats.org/officeDocument/2006/relationships/hyperlink" Target="https://nerikoelectronics.com/product/blue-2-pin-screw-terminal-block-connector-508mm-pitch-f8gbtA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1"/>
  <sheetViews>
    <sheetView tabSelected="1" topLeftCell="A16" workbookViewId="0">
      <selection activeCell="A43" sqref="A43"/>
    </sheetView>
  </sheetViews>
  <sheetFormatPr defaultColWidth="12.6640625" defaultRowHeight="15.75" customHeight="1" x14ac:dyDescent="0.25"/>
  <cols>
    <col min="1" max="1" width="23" customWidth="1"/>
    <col min="2" max="2" width="21.44140625" customWidth="1"/>
    <col min="4" max="4" width="17.109375" customWidth="1"/>
    <col min="5" max="5" width="18.6640625" customWidth="1"/>
    <col min="6" max="6" width="38.44140625" customWidth="1"/>
    <col min="7" max="7" width="19.44140625" customWidth="1"/>
  </cols>
  <sheetData>
    <row r="1" spans="1:7" s="22" customFormat="1" ht="15.75" customHeight="1" x14ac:dyDescent="0.3">
      <c r="A1" s="23" t="s">
        <v>0</v>
      </c>
      <c r="B1" s="24"/>
      <c r="C1" s="24"/>
      <c r="D1" s="24"/>
      <c r="E1" s="24"/>
      <c r="F1" s="24"/>
      <c r="G1" s="25"/>
    </row>
    <row r="2" spans="1:7" s="13" customFormat="1" ht="13.2" x14ac:dyDescent="0.25">
      <c r="A2" s="10" t="s">
        <v>88</v>
      </c>
      <c r="B2" s="11" t="s">
        <v>1</v>
      </c>
      <c r="C2" s="11" t="s">
        <v>87</v>
      </c>
      <c r="D2" s="11" t="s">
        <v>2</v>
      </c>
      <c r="E2" s="11" t="s">
        <v>86</v>
      </c>
      <c r="F2" s="11" t="s">
        <v>85</v>
      </c>
      <c r="G2" s="12" t="s">
        <v>84</v>
      </c>
    </row>
    <row r="3" spans="1:7" ht="13.2" x14ac:dyDescent="0.25">
      <c r="A3" s="1" t="s">
        <v>3</v>
      </c>
      <c r="B3" s="2" t="s">
        <v>4</v>
      </c>
      <c r="C3" s="2">
        <v>1</v>
      </c>
      <c r="D3" s="4">
        <v>60000</v>
      </c>
      <c r="E3" s="4">
        <f t="shared" ref="E3:E22" si="0">D3*C3</f>
        <v>60000</v>
      </c>
      <c r="F3" s="5" t="s">
        <v>5</v>
      </c>
      <c r="G3" s="3" t="s">
        <v>6</v>
      </c>
    </row>
    <row r="4" spans="1:7" ht="13.2" x14ac:dyDescent="0.25">
      <c r="A4" s="1" t="s">
        <v>99</v>
      </c>
      <c r="B4" s="21" t="s">
        <v>98</v>
      </c>
      <c r="C4" s="2">
        <v>2</v>
      </c>
      <c r="D4" s="4">
        <v>120000</v>
      </c>
      <c r="E4" s="4">
        <f t="shared" si="0"/>
        <v>240000</v>
      </c>
      <c r="F4" s="19" t="s">
        <v>97</v>
      </c>
      <c r="G4" s="20" t="s">
        <v>60</v>
      </c>
    </row>
    <row r="5" spans="1:7" ht="13.2" x14ac:dyDescent="0.25">
      <c r="A5" s="1" t="s">
        <v>7</v>
      </c>
      <c r="B5" s="2" t="s">
        <v>8</v>
      </c>
      <c r="C5" s="2">
        <v>1</v>
      </c>
      <c r="D5" s="4">
        <v>195000</v>
      </c>
      <c r="E5" s="4">
        <f t="shared" si="0"/>
        <v>195000</v>
      </c>
      <c r="F5" s="5" t="s">
        <v>9</v>
      </c>
      <c r="G5" s="3" t="s">
        <v>6</v>
      </c>
    </row>
    <row r="6" spans="1:7" ht="13.2" x14ac:dyDescent="0.25">
      <c r="A6" s="1" t="s">
        <v>10</v>
      </c>
      <c r="B6" s="2" t="s">
        <v>11</v>
      </c>
      <c r="C6" s="2">
        <v>1</v>
      </c>
      <c r="D6" s="4">
        <v>22000</v>
      </c>
      <c r="E6" s="4">
        <f t="shared" si="0"/>
        <v>22000</v>
      </c>
      <c r="F6" s="5" t="s">
        <v>12</v>
      </c>
      <c r="G6" s="3" t="s">
        <v>6</v>
      </c>
    </row>
    <row r="7" spans="1:7" ht="13.2" x14ac:dyDescent="0.25">
      <c r="A7" s="1" t="s">
        <v>13</v>
      </c>
      <c r="B7" s="8" t="s">
        <v>92</v>
      </c>
      <c r="C7" s="2">
        <v>1</v>
      </c>
      <c r="D7" s="4">
        <v>40000</v>
      </c>
      <c r="E7" s="4">
        <f t="shared" si="0"/>
        <v>40000</v>
      </c>
      <c r="F7" s="5" t="s">
        <v>14</v>
      </c>
      <c r="G7" s="3" t="s">
        <v>6</v>
      </c>
    </row>
    <row r="8" spans="1:7" ht="13.2" x14ac:dyDescent="0.25">
      <c r="A8" s="1" t="s">
        <v>15</v>
      </c>
      <c r="B8" s="8" t="s">
        <v>93</v>
      </c>
      <c r="C8" s="2">
        <v>1</v>
      </c>
      <c r="D8" s="4">
        <v>10000</v>
      </c>
      <c r="E8" s="4">
        <f t="shared" si="0"/>
        <v>10000</v>
      </c>
      <c r="F8" s="5" t="s">
        <v>16</v>
      </c>
      <c r="G8" s="3" t="s">
        <v>6</v>
      </c>
    </row>
    <row r="9" spans="1:7" ht="13.2" x14ac:dyDescent="0.25">
      <c r="A9" s="1" t="s">
        <v>17</v>
      </c>
      <c r="B9" s="2" t="s">
        <v>18</v>
      </c>
      <c r="C9" s="2">
        <v>2</v>
      </c>
      <c r="D9" s="4">
        <v>10000</v>
      </c>
      <c r="E9" s="4">
        <f t="shared" si="0"/>
        <v>20000</v>
      </c>
      <c r="F9" s="5" t="s">
        <v>19</v>
      </c>
      <c r="G9" s="3" t="s">
        <v>6</v>
      </c>
    </row>
    <row r="10" spans="1:7" ht="13.2" x14ac:dyDescent="0.25">
      <c r="A10" s="1" t="s">
        <v>20</v>
      </c>
      <c r="B10" s="2" t="s">
        <v>21</v>
      </c>
      <c r="C10" s="2">
        <v>1</v>
      </c>
      <c r="D10" s="4">
        <v>30000</v>
      </c>
      <c r="E10" s="4">
        <f t="shared" si="0"/>
        <v>30000</v>
      </c>
      <c r="F10" s="5" t="s">
        <v>22</v>
      </c>
      <c r="G10" s="3" t="s">
        <v>6</v>
      </c>
    </row>
    <row r="11" spans="1:7" ht="13.2" x14ac:dyDescent="0.25">
      <c r="A11" s="1" t="s">
        <v>23</v>
      </c>
      <c r="B11" s="2" t="s">
        <v>24</v>
      </c>
      <c r="C11" s="2">
        <v>1</v>
      </c>
      <c r="D11" s="4">
        <v>150000</v>
      </c>
      <c r="E11" s="4">
        <f t="shared" si="0"/>
        <v>150000</v>
      </c>
      <c r="F11" s="5" t="s">
        <v>25</v>
      </c>
      <c r="G11" s="3" t="s">
        <v>6</v>
      </c>
    </row>
    <row r="12" spans="1:7" ht="13.2" x14ac:dyDescent="0.25">
      <c r="A12" s="1" t="s">
        <v>26</v>
      </c>
      <c r="B12" s="2" t="s">
        <v>27</v>
      </c>
      <c r="C12" s="2">
        <v>5</v>
      </c>
      <c r="D12" s="4">
        <v>3500</v>
      </c>
      <c r="E12" s="4">
        <f t="shared" si="0"/>
        <v>17500</v>
      </c>
      <c r="F12" s="5" t="s">
        <v>28</v>
      </c>
      <c r="G12" s="3" t="s">
        <v>6</v>
      </c>
    </row>
    <row r="13" spans="1:7" ht="13.2" x14ac:dyDescent="0.25">
      <c r="A13" s="1" t="s">
        <v>29</v>
      </c>
      <c r="B13" s="2" t="s">
        <v>30</v>
      </c>
      <c r="C13" s="2">
        <v>5</v>
      </c>
      <c r="D13" s="4">
        <v>1500</v>
      </c>
      <c r="E13" s="4">
        <f t="shared" si="0"/>
        <v>7500</v>
      </c>
      <c r="F13" s="5" t="s">
        <v>31</v>
      </c>
      <c r="G13" s="3" t="s">
        <v>6</v>
      </c>
    </row>
    <row r="14" spans="1:7" ht="13.2" x14ac:dyDescent="0.25">
      <c r="A14" s="1" t="s">
        <v>32</v>
      </c>
      <c r="B14" s="2" t="s">
        <v>33</v>
      </c>
      <c r="C14" s="2">
        <v>5</v>
      </c>
      <c r="D14" s="4">
        <v>2500</v>
      </c>
      <c r="E14" s="4">
        <f t="shared" si="0"/>
        <v>12500</v>
      </c>
      <c r="F14" s="5" t="s">
        <v>34</v>
      </c>
      <c r="G14" s="3" t="s">
        <v>6</v>
      </c>
    </row>
    <row r="15" spans="1:7" ht="13.2" x14ac:dyDescent="0.25">
      <c r="A15" s="1" t="s">
        <v>35</v>
      </c>
      <c r="B15" s="2" t="s">
        <v>35</v>
      </c>
      <c r="C15" s="2">
        <v>10</v>
      </c>
      <c r="D15" s="2">
        <v>500</v>
      </c>
      <c r="E15" s="4">
        <f t="shared" si="0"/>
        <v>5000</v>
      </c>
      <c r="F15" s="5" t="s">
        <v>36</v>
      </c>
      <c r="G15" s="3" t="s">
        <v>6</v>
      </c>
    </row>
    <row r="16" spans="1:7" ht="13.2" x14ac:dyDescent="0.25">
      <c r="A16" s="1" t="s">
        <v>37</v>
      </c>
      <c r="B16" s="2" t="s">
        <v>38</v>
      </c>
      <c r="C16" s="2">
        <v>10</v>
      </c>
      <c r="D16" s="2">
        <v>500</v>
      </c>
      <c r="E16" s="4">
        <f t="shared" si="0"/>
        <v>5000</v>
      </c>
      <c r="F16" s="5" t="s">
        <v>39</v>
      </c>
      <c r="G16" s="3" t="s">
        <v>6</v>
      </c>
    </row>
    <row r="17" spans="1:7" ht="13.2" x14ac:dyDescent="0.25">
      <c r="A17" s="1" t="s">
        <v>40</v>
      </c>
      <c r="B17" s="2" t="s">
        <v>41</v>
      </c>
      <c r="C17" s="2">
        <v>5</v>
      </c>
      <c r="D17" s="2">
        <v>1000</v>
      </c>
      <c r="E17" s="4">
        <f t="shared" si="0"/>
        <v>5000</v>
      </c>
      <c r="F17" s="5" t="s">
        <v>42</v>
      </c>
      <c r="G17" s="3" t="s">
        <v>6</v>
      </c>
    </row>
    <row r="18" spans="1:7" ht="13.2" x14ac:dyDescent="0.25">
      <c r="A18" s="1" t="s">
        <v>43</v>
      </c>
      <c r="B18" s="2" t="s">
        <v>44</v>
      </c>
      <c r="C18" s="2">
        <v>2</v>
      </c>
      <c r="D18" s="4">
        <v>4500</v>
      </c>
      <c r="E18" s="4">
        <f t="shared" si="0"/>
        <v>9000</v>
      </c>
      <c r="F18" s="5" t="s">
        <v>45</v>
      </c>
      <c r="G18" s="3" t="s">
        <v>6</v>
      </c>
    </row>
    <row r="19" spans="1:7" ht="13.2" x14ac:dyDescent="0.25">
      <c r="A19" s="1" t="s">
        <v>46</v>
      </c>
      <c r="B19" s="2" t="s">
        <v>47</v>
      </c>
      <c r="C19" s="2">
        <v>1</v>
      </c>
      <c r="D19" s="4">
        <v>6000</v>
      </c>
      <c r="E19" s="4">
        <f t="shared" si="0"/>
        <v>6000</v>
      </c>
      <c r="F19" s="5" t="s">
        <v>48</v>
      </c>
      <c r="G19" s="3" t="s">
        <v>6</v>
      </c>
    </row>
    <row r="20" spans="1:7" ht="13.2" x14ac:dyDescent="0.25">
      <c r="A20" s="1" t="s">
        <v>49</v>
      </c>
      <c r="B20" s="8" t="s">
        <v>91</v>
      </c>
      <c r="C20" s="2">
        <v>1</v>
      </c>
      <c r="D20" s="4">
        <v>35000</v>
      </c>
      <c r="E20" s="4">
        <f t="shared" si="0"/>
        <v>35000</v>
      </c>
      <c r="F20" s="5" t="s">
        <v>50</v>
      </c>
      <c r="G20" s="3" t="s">
        <v>6</v>
      </c>
    </row>
    <row r="21" spans="1:7" ht="13.2" x14ac:dyDescent="0.25">
      <c r="A21" s="1" t="s">
        <v>51</v>
      </c>
      <c r="B21" s="2" t="s">
        <v>52</v>
      </c>
      <c r="C21" s="2">
        <v>10</v>
      </c>
      <c r="D21" s="2">
        <v>500</v>
      </c>
      <c r="E21" s="4">
        <f t="shared" si="0"/>
        <v>5000</v>
      </c>
      <c r="F21" s="5" t="s">
        <v>53</v>
      </c>
      <c r="G21" s="3" t="s">
        <v>6</v>
      </c>
    </row>
    <row r="22" spans="1:7" ht="13.2" x14ac:dyDescent="0.25">
      <c r="A22" s="1" t="s">
        <v>54</v>
      </c>
      <c r="C22" s="2">
        <v>10</v>
      </c>
      <c r="D22" s="4">
        <v>1500</v>
      </c>
      <c r="E22" s="4">
        <f t="shared" si="0"/>
        <v>15000</v>
      </c>
      <c r="F22" s="5" t="s">
        <v>55</v>
      </c>
      <c r="G22" s="3" t="s">
        <v>6</v>
      </c>
    </row>
    <row r="23" spans="1:7" s="7" customFormat="1" ht="13.2" x14ac:dyDescent="0.25">
      <c r="A23" s="26" t="s">
        <v>95</v>
      </c>
      <c r="B23" s="27"/>
      <c r="C23" s="27"/>
      <c r="D23" s="27"/>
      <c r="E23" s="15">
        <f>SUM(E3:E22)</f>
        <v>889500</v>
      </c>
      <c r="F23" s="17"/>
      <c r="G23" s="18"/>
    </row>
    <row r="24" spans="1:7" ht="13.2" x14ac:dyDescent="0.25">
      <c r="E24" s="4"/>
    </row>
    <row r="25" spans="1:7" s="22" customFormat="1" ht="15.6" x14ac:dyDescent="0.3">
      <c r="A25" s="23" t="s">
        <v>56</v>
      </c>
      <c r="B25" s="24"/>
      <c r="C25" s="24"/>
      <c r="D25" s="24"/>
      <c r="E25" s="24"/>
      <c r="F25" s="24"/>
      <c r="G25" s="25"/>
    </row>
    <row r="26" spans="1:7" s="13" customFormat="1" ht="13.2" x14ac:dyDescent="0.25">
      <c r="A26" s="10" t="s">
        <v>88</v>
      </c>
      <c r="B26" s="11" t="s">
        <v>89</v>
      </c>
      <c r="C26" s="11" t="s">
        <v>87</v>
      </c>
      <c r="D26" s="11" t="s">
        <v>2</v>
      </c>
      <c r="E26" s="14" t="s">
        <v>86</v>
      </c>
      <c r="F26" s="11" t="s">
        <v>85</v>
      </c>
      <c r="G26" s="12" t="s">
        <v>84</v>
      </c>
    </row>
    <row r="27" spans="1:7" ht="13.2" x14ac:dyDescent="0.25">
      <c r="A27" s="1" t="s">
        <v>57</v>
      </c>
      <c r="B27" s="2" t="s">
        <v>58</v>
      </c>
      <c r="C27" s="2">
        <v>2</v>
      </c>
      <c r="D27" s="4">
        <v>59000</v>
      </c>
      <c r="E27" s="4">
        <f t="shared" ref="E27:E36" si="1">D27*C27</f>
        <v>118000</v>
      </c>
      <c r="F27" s="5" t="s">
        <v>59</v>
      </c>
      <c r="G27" s="3" t="s">
        <v>60</v>
      </c>
    </row>
    <row r="28" spans="1:7" ht="13.2" x14ac:dyDescent="0.25">
      <c r="A28" s="1" t="s">
        <v>61</v>
      </c>
      <c r="B28" s="8" t="s">
        <v>90</v>
      </c>
      <c r="C28" s="2">
        <v>2</v>
      </c>
      <c r="D28" s="4">
        <v>20000</v>
      </c>
      <c r="E28" s="4">
        <f t="shared" si="1"/>
        <v>40000</v>
      </c>
      <c r="F28" s="5" t="s">
        <v>62</v>
      </c>
      <c r="G28" s="3" t="s">
        <v>6</v>
      </c>
    </row>
    <row r="29" spans="1:7" ht="13.2" x14ac:dyDescent="0.25">
      <c r="A29" s="1" t="s">
        <v>63</v>
      </c>
      <c r="B29" s="2" t="s">
        <v>64</v>
      </c>
      <c r="C29" s="2">
        <v>4</v>
      </c>
      <c r="D29" s="4">
        <v>4000</v>
      </c>
      <c r="E29" s="4">
        <f t="shared" si="1"/>
        <v>16000</v>
      </c>
      <c r="F29" s="5" t="s">
        <v>65</v>
      </c>
      <c r="G29" s="3" t="s">
        <v>6</v>
      </c>
    </row>
    <row r="30" spans="1:7" ht="13.2" x14ac:dyDescent="0.25">
      <c r="A30" s="1" t="s">
        <v>66</v>
      </c>
      <c r="B30" s="2" t="s">
        <v>67</v>
      </c>
      <c r="C30" s="2">
        <v>4</v>
      </c>
      <c r="D30" s="4">
        <v>5000</v>
      </c>
      <c r="E30" s="4">
        <f t="shared" si="1"/>
        <v>20000</v>
      </c>
      <c r="F30" s="19" t="s">
        <v>68</v>
      </c>
      <c r="G30" s="3" t="s">
        <v>6</v>
      </c>
    </row>
    <row r="31" spans="1:7" ht="13.2" x14ac:dyDescent="0.25">
      <c r="A31" s="1" t="s">
        <v>69</v>
      </c>
      <c r="B31" s="2" t="s">
        <v>70</v>
      </c>
      <c r="C31" s="2">
        <v>1</v>
      </c>
      <c r="D31" s="4">
        <v>40000</v>
      </c>
      <c r="E31" s="4">
        <f t="shared" si="1"/>
        <v>40000</v>
      </c>
      <c r="F31" s="5" t="s">
        <v>71</v>
      </c>
      <c r="G31" s="3" t="s">
        <v>6</v>
      </c>
    </row>
    <row r="32" spans="1:7" ht="13.2" x14ac:dyDescent="0.25">
      <c r="A32" s="1" t="s">
        <v>72</v>
      </c>
      <c r="B32" s="2" t="s">
        <v>73</v>
      </c>
      <c r="C32" s="2">
        <v>1</v>
      </c>
      <c r="D32" s="4">
        <v>40000</v>
      </c>
      <c r="E32" s="4">
        <f t="shared" si="1"/>
        <v>40000</v>
      </c>
      <c r="F32" s="5" t="s">
        <v>74</v>
      </c>
      <c r="G32" s="3" t="s">
        <v>6</v>
      </c>
    </row>
    <row r="33" spans="1:7" ht="13.2" x14ac:dyDescent="0.25">
      <c r="A33" s="1" t="s">
        <v>75</v>
      </c>
      <c r="B33" s="2" t="s">
        <v>76</v>
      </c>
      <c r="C33" s="2">
        <v>5</v>
      </c>
      <c r="D33" s="4">
        <v>1500</v>
      </c>
      <c r="E33" s="4">
        <f t="shared" si="1"/>
        <v>7500</v>
      </c>
      <c r="F33" s="5" t="s">
        <v>77</v>
      </c>
      <c r="G33" s="3" t="s">
        <v>6</v>
      </c>
    </row>
    <row r="34" spans="1:7" ht="13.2" x14ac:dyDescent="0.25">
      <c r="A34" s="1" t="s">
        <v>54</v>
      </c>
      <c r="C34" s="2">
        <v>2</v>
      </c>
      <c r="D34" s="4">
        <v>1500</v>
      </c>
      <c r="E34" s="4">
        <f t="shared" si="1"/>
        <v>3000</v>
      </c>
      <c r="F34" s="5" t="s">
        <v>55</v>
      </c>
      <c r="G34" s="3" t="s">
        <v>6</v>
      </c>
    </row>
    <row r="35" spans="1:7" ht="13.2" x14ac:dyDescent="0.25">
      <c r="A35" s="1" t="s">
        <v>78</v>
      </c>
      <c r="B35" s="8" t="s">
        <v>94</v>
      </c>
      <c r="C35" s="2">
        <v>5</v>
      </c>
      <c r="D35" s="4">
        <v>2000</v>
      </c>
      <c r="E35" s="4">
        <f t="shared" si="1"/>
        <v>10000</v>
      </c>
      <c r="F35" s="5" t="s">
        <v>79</v>
      </c>
      <c r="G35" s="3" t="s">
        <v>6</v>
      </c>
    </row>
    <row r="36" spans="1:7" ht="13.2" x14ac:dyDescent="0.25">
      <c r="A36" s="1" t="s">
        <v>80</v>
      </c>
      <c r="B36" s="2" t="s">
        <v>81</v>
      </c>
      <c r="C36" s="2">
        <v>5</v>
      </c>
      <c r="D36" s="4">
        <v>2500</v>
      </c>
      <c r="E36" s="4">
        <f t="shared" si="1"/>
        <v>12500</v>
      </c>
      <c r="F36" s="5" t="s">
        <v>82</v>
      </c>
      <c r="G36" s="3" t="s">
        <v>6</v>
      </c>
    </row>
    <row r="37" spans="1:7" s="7" customFormat="1" ht="13.2" x14ac:dyDescent="0.25">
      <c r="A37" s="26" t="s">
        <v>96</v>
      </c>
      <c r="B37" s="27"/>
      <c r="C37" s="27"/>
      <c r="D37" s="27"/>
      <c r="E37" s="16">
        <f>SUM(E27:E36)</f>
        <v>307000</v>
      </c>
      <c r="F37" s="17"/>
      <c r="G37" s="18"/>
    </row>
    <row r="38" spans="1:7" s="7" customFormat="1" ht="13.2" x14ac:dyDescent="0.25">
      <c r="A38" s="28"/>
      <c r="B38" s="29"/>
      <c r="C38" s="29"/>
      <c r="D38" s="29"/>
      <c r="E38" s="30"/>
      <c r="F38" s="31"/>
      <c r="G38" s="31"/>
    </row>
    <row r="39" spans="1:7" s="7" customFormat="1" ht="13.2" x14ac:dyDescent="0.25">
      <c r="A39" s="33" t="s">
        <v>100</v>
      </c>
      <c r="B39" s="32" t="s">
        <v>101</v>
      </c>
      <c r="C39" s="29">
        <v>1</v>
      </c>
      <c r="D39" s="34">
        <v>1156768.6000000001</v>
      </c>
      <c r="E39" s="9">
        <f>C39*D39</f>
        <v>1156768.6000000001</v>
      </c>
      <c r="F39" s="31"/>
      <c r="G39" s="31"/>
    </row>
    <row r="41" spans="1:7" ht="13.2" x14ac:dyDescent="0.25">
      <c r="A41" s="6" t="s">
        <v>83</v>
      </c>
      <c r="E41" s="9">
        <f>E37+E23+E39</f>
        <v>2353268.6</v>
      </c>
    </row>
  </sheetData>
  <mergeCells count="4">
    <mergeCell ref="A1:G1"/>
    <mergeCell ref="A23:D23"/>
    <mergeCell ref="A25:G25"/>
    <mergeCell ref="A37:D37"/>
  </mergeCells>
  <hyperlinks>
    <hyperlink ref="F3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7" r:id="rId20"/>
    <hyperlink ref="F28" r:id="rId21"/>
    <hyperlink ref="F29" r:id="rId22"/>
    <hyperlink ref="F30" r:id="rId23"/>
    <hyperlink ref="F31" r:id="rId24"/>
    <hyperlink ref="F32" r:id="rId25"/>
    <hyperlink ref="F33" r:id="rId26"/>
    <hyperlink ref="F34" r:id="rId27"/>
    <hyperlink ref="F35" r:id="rId28"/>
    <hyperlink ref="F36" r:id="rId29"/>
    <hyperlink ref="F4" display="https://www.aliexpress.com/item/1005008851115917.html?spm=a2g0o.detail.pcDetailTopMoreOtherSeller.4.5cdaBvJPBvJP21&amp;gps-id=pcDetailTopMoreOtherSeller&amp;scm=1007.40050.354490.0&amp;scm_id=1007.40050.354490.0&amp;scm-url=1007.40050.354490.0&amp;pvid=0a933d2d-187c-4820-863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2025-11-12T09:37:21Z</dcterms:modified>
</cp:coreProperties>
</file>