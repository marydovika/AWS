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<sst xmlns="http://schemas.openxmlformats.org/spreadsheetml/2006/main" count="177" uniqueCount="132">
  <si>
    <t>GATE WAY BOARD</t>
  </si>
  <si>
    <t>component name</t>
  </si>
  <si>
    <t>Descripton</t>
  </si>
  <si>
    <t>quantity</t>
  </si>
  <si>
    <t>Unit price (UGX)</t>
  </si>
  <si>
    <t>total price (UGX)</t>
  </si>
  <si>
    <t>link</t>
  </si>
  <si>
    <t>country</t>
  </si>
  <si>
    <t xml:space="preserve">ESP32 WROOM </t>
  </si>
  <si>
    <t>micro controller</t>
  </si>
  <si>
    <t>https://nerikoelectronics.com/product/esp32-esp-32-wifi-bluetooth-dual-core-520kb-sram-4mb-flash-FlLeWN</t>
  </si>
  <si>
    <t>uganda</t>
  </si>
  <si>
    <t xml:space="preserve">SM7000E </t>
  </si>
  <si>
    <t>GSM</t>
  </si>
  <si>
    <t>https://nerikoelectronics.com/product/sim7000e-4g-lte-mobile-iot-modules-development-board-qvPW1l</t>
  </si>
  <si>
    <t>DS3231MZ_TRL</t>
  </si>
  <si>
    <t>RTC</t>
  </si>
  <si>
    <t>https://www.bbiri-centre.com/product-page/real-time-clock-rtc</t>
  </si>
  <si>
    <t>Ai-Thinker RA-08H</t>
  </si>
  <si>
    <t>LORA</t>
  </si>
  <si>
    <t>https://www.bbiri-centre.com/product-page/ra-08h-lorawan-rf-module-with-asr6601-chip-lora-868mhz</t>
  </si>
  <si>
    <t>MEM2067</t>
  </si>
  <si>
    <t xml:space="preserve">MEMORY CARD </t>
  </si>
  <si>
    <t>https://nerikoelectronics.com/product/micro-sd-card-module-spi-interface-tf-card-reader-535lX4</t>
  </si>
  <si>
    <t>MAX 485 MODULE</t>
  </si>
  <si>
    <t>RS485</t>
  </si>
  <si>
    <t>https://nerikoelectronics.com/product/5v-max485-rs485-module-ttl-to-rs485-module-RzQphe</t>
  </si>
  <si>
    <t>RESISTOR PACK</t>
  </si>
  <si>
    <t>resistors</t>
  </si>
  <si>
    <t>https://nerikoelectronics.com/product/17-values-1-resistor-kit-assortment-0-ohm-1m-ohm-pack-of-525-WPaFoO</t>
  </si>
  <si>
    <t>CAPACITOR PACK</t>
  </si>
  <si>
    <t>capacitors</t>
  </si>
  <si>
    <t>https://www.bbiri-centre.com/product-page/500pcs-24-values-radial-electrolytic-capacitor-0-1uf-1000uf-assortment-kit</t>
  </si>
  <si>
    <t>JST XH 2.54 4 Pin</t>
  </si>
  <si>
    <t>4 pin connector</t>
  </si>
  <si>
    <t>https://www.bbiri-centre.com/product-page/jst-xh-2-0-4-pin-connectors-1</t>
  </si>
  <si>
    <t>JST PH 2.54 2 Pin</t>
  </si>
  <si>
    <t>2 pin connecctor</t>
  </si>
  <si>
    <t>https://www.bbiri-centre.com/product-page/jst-ph-2-0-2-pin-connector</t>
  </si>
  <si>
    <t>JST XH 2.54 3</t>
  </si>
  <si>
    <t>3 pin connector</t>
  </si>
  <si>
    <t>https://www.bbiri-centre.com/product-page/jst-xh-2-0-3-pin-connector-1</t>
  </si>
  <si>
    <t>push buttons</t>
  </si>
  <si>
    <t>https://www.bbiri-centre.com/product-page/momentary-push-button-switch</t>
  </si>
  <si>
    <t>2N2222A –NPN</t>
  </si>
  <si>
    <t>npn transistor</t>
  </si>
  <si>
    <t>https://www.bbiri-centre.com/product-page/2n2222a-npn-transistor</t>
  </si>
  <si>
    <t>GL5506</t>
  </si>
  <si>
    <t>ldr light sensor</t>
  </si>
  <si>
    <t>https://www.bbiri-centre.com/product-page/ldr-light-dependent-resistor</t>
  </si>
  <si>
    <t xml:space="preserve">A3144 </t>
  </si>
  <si>
    <t>hall effect sensor</t>
  </si>
  <si>
    <t>https://www.bbiri-centre.com/product-page/a3144-hall-effect-sensor</t>
  </si>
  <si>
    <t>REED swtch</t>
  </si>
  <si>
    <t>reed switch</t>
  </si>
  <si>
    <t>https://nerikoelectronics.com/product/reed-switch-magnetic-sensor-module-iblLbI</t>
  </si>
  <si>
    <t>LED PACK</t>
  </si>
  <si>
    <t>leds</t>
  </si>
  <si>
    <t>https://www.bbiri-centre.com/product-page/100pcs-5mm-light-emitting-diode-assorted-color-white-red-yellow-green-blue-kit</t>
  </si>
  <si>
    <t>diodes</t>
  </si>
  <si>
    <t>rectifier diodes</t>
  </si>
  <si>
    <t>https://www.bbiri-centre.com/product-page/1n4007-1a-1000v-general-purpose-rectifier-diode</t>
  </si>
  <si>
    <t>screw terminal</t>
  </si>
  <si>
    <t>https://nerikoelectronics.com/product/blue-2-pin-screw-terminal-block-connector-508mm-pitch-f8gbtA</t>
  </si>
  <si>
    <t xml:space="preserve">TOTAL </t>
  </si>
  <si>
    <t>POWER BOARD</t>
  </si>
  <si>
    <t>component</t>
  </si>
  <si>
    <t>description</t>
  </si>
  <si>
    <t>qty</t>
  </si>
  <si>
    <t>unt price (UGX)</t>
  </si>
  <si>
    <t>BQ24650RVAR</t>
  </si>
  <si>
    <t>solar mppt</t>
  </si>
  <si>
    <t>https://www.aliexpress.com/item/1005005735492601.html?irclickid=xph2texiNxycWnPRCl1jcXoGUkpRoVRwJVWV280&amp;sharedid=&amp;irpid=5610093&amp;irgwc=1&amp;afsrc=1&amp;isdl=y&amp;aff_short_key=_DBnlUXN&amp;aff_platform=true&amp;aff_fsk=_DBnlUXN</t>
  </si>
  <si>
    <t>china</t>
  </si>
  <si>
    <t>XL4015 5A</t>
  </si>
  <si>
    <t>5a buck converter</t>
  </si>
  <si>
    <t>https://www.bbiri-centre.com/product-page/xl4015-5a-dc-to-dc-buck-converter-step-down-module</t>
  </si>
  <si>
    <t>LM1117T</t>
  </si>
  <si>
    <t>3.3V regulator 0.8A</t>
  </si>
  <si>
    <t>https://nerikoelectronics.com/product/lm1117-lm1117t-33v-08a-lm1117t-33-voltage-regulator-lm1117-33-to-220-3-a4TnQU</t>
  </si>
  <si>
    <t>T73 JQC-3FF-S-Z</t>
  </si>
  <si>
    <t>power mux relay</t>
  </si>
  <si>
    <t>https://www.bbiri-centre.com/product-page/3-3v-5v-relay-10a-30vdc-250vac</t>
  </si>
  <si>
    <t>3S 40A CMB</t>
  </si>
  <si>
    <t>3S bms</t>
  </si>
  <si>
    <t>https://www.bbiri-centre.com/product-page/charge-management-board-cmb</t>
  </si>
  <si>
    <t>4S 40A 18650</t>
  </si>
  <si>
    <t>4S BMS</t>
  </si>
  <si>
    <t>https://www.bbiri-centre.com/product-page/4s-40a-18650-li-ion-lithium-battery-charger-4s-bms-board</t>
  </si>
  <si>
    <t>LM393</t>
  </si>
  <si>
    <t>voltage comparator</t>
  </si>
  <si>
    <t>https://www.bbiri-centre.com/product-page/lm393-new-dual-voltage-comparator-dual-diff-comparator-dip-8</t>
  </si>
  <si>
    <t>3 Pin ON/OFF Slide</t>
  </si>
  <si>
    <t>slde switch</t>
  </si>
  <si>
    <t>https://nerikoelectronics.com/product/3-pin-onoff-slide-switch-HveTEN</t>
  </si>
  <si>
    <t>LIR2032 Rechargeable Button Battery 3.6V</t>
  </si>
  <si>
    <t>coin cell</t>
  </si>
  <si>
    <t>https://www.bbiri-centre.com/product-page/lir2032-rechargeable-button-battery-3-6v-high-quality-lithium-battery</t>
  </si>
  <si>
    <t>18650 Rechargeable Lithium Ion Battery</t>
  </si>
  <si>
    <t>https://www.bbiri-centre.com/product-page/rechargeable-18650-rechargeable-lithium-ion-battery-for-student-projects</t>
  </si>
  <si>
    <t>jumper wires</t>
  </si>
  <si>
    <t>https://www.bbiri-centre.com/product-page/20cm-dupont-wire-color-jumper-wire-cable-2-54mm-ribbon</t>
  </si>
  <si>
    <t>bread board</t>
  </si>
  <si>
    <t>https://www.bbiri-centre.com/product-page/gl-12-840-points-solder-breadboard</t>
  </si>
  <si>
    <t>perf board</t>
  </si>
  <si>
    <t>solder board</t>
  </si>
  <si>
    <t>https://www.bbiri-centre.com/product-page/12x18cm-universal-pcb-diy-prototype-board</t>
  </si>
  <si>
    <t>Single Core Tinned Copper Wrap Wire 30 AWG 8</t>
  </si>
  <si>
    <t>wire</t>
  </si>
  <si>
    <t>https://www.bbiri-centre.com/product-page/wrapping-wire-250m-30-awg-b-30-1000-8-colors</t>
  </si>
  <si>
    <t>solder wire</t>
  </si>
  <si>
    <t>lead free solder wire</t>
  </si>
  <si>
    <t>https://www.bbiri-centre.com/product-page/1-roll-of-lead-free-solder-wire-sn99-3-solder-wire-0-8mm100g</t>
  </si>
  <si>
    <t>solder cleaner</t>
  </si>
  <si>
    <t>https://www.bbiri-centre.com/product-page/soldering-iron-tip-cleaner</t>
  </si>
  <si>
    <t>solderng iron</t>
  </si>
  <si>
    <t>https://www.bbiri-centre.com/product-page/60w-soldering-iron-kit</t>
  </si>
  <si>
    <t>lithium battery holder</t>
  </si>
  <si>
    <t>3s holder</t>
  </si>
  <si>
    <t>https://www.bbiri-centre.com/product-page/3-7v-li-ion-battery-holder</t>
  </si>
  <si>
    <t>pc817c</t>
  </si>
  <si>
    <t>optocoupler</t>
  </si>
  <si>
    <t>https://www.bbiri-centre.com/product-page/pc817c-optocoupler</t>
  </si>
  <si>
    <t>solder wick</t>
  </si>
  <si>
    <t>https://www.bbiri-centre.com/product-page/solder-wick-3-5mm</t>
  </si>
  <si>
    <t>power switch</t>
  </si>
  <si>
    <t>switch</t>
  </si>
  <si>
    <t>https://www.bbiri-centre.com/product-page/mini-power-on-off-switch-2-pin-snap-in-button-rocker-switch</t>
  </si>
  <si>
    <t>TOTAL</t>
  </si>
  <si>
    <t>Altium Power Analyzer</t>
  </si>
  <si>
    <t>Keysight</t>
  </si>
  <si>
    <t xml:space="preserve">GRAND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</si>
</sst>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color rgb="FF000000"/>
      <name val="Arial"/>
    </font>
    <font>
      <color theme="1"/>
      <name val="Arial"/>
    </font>
    <font>
      <b/>
      <color theme="1"/>
      <name val="Arial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7" fillId="0" fontId="1" numFmtId="3" xfId="0" applyAlignment="1" applyBorder="1" applyFont="1" applyNumberFormat="1">
      <alignment readingOrder="0"/>
    </xf>
    <xf borderId="7" fillId="0" fontId="1" numFmtId="0" xfId="0" applyBorder="1" applyFont="1"/>
    <xf borderId="8" fillId="0" fontId="1" numFmtId="0" xfId="0" applyBorder="1" applyFont="1"/>
    <xf borderId="7" fillId="0" fontId="1" numFmtId="3" xfId="0" applyBorder="1" applyFont="1" applyNumberForma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7" numFmtId="3" xfId="0" applyAlignment="1" applyFont="1" applyNumberFormat="1">
      <alignment horizontal="right" readingOrder="0" shrinkToFit="0" vertical="bottom" wrapText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biri-centre.com/product-page/solder-wick-3-5mm" TargetMode="External"/><Relationship Id="rId20" Type="http://schemas.openxmlformats.org/officeDocument/2006/relationships/hyperlink" Target="https://www.aliexpress.com/item/1005005735492601.html?irclickid=xph2texiNxycWnPRCl1jcXoGUkpRoVRwJVWV280&amp;sharedid=&amp;irpid=5610093&amp;irgwc=1&amp;afsrc=1&amp;isdl=y&amp;aff_short_key=_DBnlUXN&amp;aff_platform=true&amp;aff_fsk=_DBnlUXN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www.bbiri-centre.com/product-page/mini-power-on-off-switch-2-pin-snap-in-button-rocker-switch" TargetMode="External"/><Relationship Id="rId22" Type="http://schemas.openxmlformats.org/officeDocument/2006/relationships/hyperlink" Target="https://nerikoelectronics.com/product/lm1117-lm1117t-33v-08a-lm1117t-33-voltage-regulator-lm1117-33-to-220-3-a4TnQU" TargetMode="External"/><Relationship Id="rId21" Type="http://schemas.openxmlformats.org/officeDocument/2006/relationships/hyperlink" Target="https://www.bbiri-centre.com/product-page/xl4015-5a-dc-to-dc-buck-converter-step-down-module" TargetMode="External"/><Relationship Id="rId24" Type="http://schemas.openxmlformats.org/officeDocument/2006/relationships/hyperlink" Target="https://www.bbiri-centre.com/product-page/charge-management-board-cmb" TargetMode="External"/><Relationship Id="rId23" Type="http://schemas.openxmlformats.org/officeDocument/2006/relationships/hyperlink" Target="https://www.bbiri-centre.com/product-page/3-3v-5v-relay-10a-30vdc-250vac" TargetMode="External"/><Relationship Id="rId1" Type="http://schemas.openxmlformats.org/officeDocument/2006/relationships/hyperlink" Target="https://nerikoelectronics.com/product/esp32-esp-32-wifi-bluetooth-dual-core-520kb-sram-4mb-flash-FlLeWN" TargetMode="External"/><Relationship Id="rId2" Type="http://schemas.openxmlformats.org/officeDocument/2006/relationships/hyperlink" Target="https://nerikoelectronics.com/product/sim7000e-4g-lte-mobile-iot-modules-development-board-qvPW1l" TargetMode="External"/><Relationship Id="rId3" Type="http://schemas.openxmlformats.org/officeDocument/2006/relationships/hyperlink" Target="https://www.bbiri-centre.com/product-page/real-time-clock-rtc" TargetMode="External"/><Relationship Id="rId4" Type="http://schemas.openxmlformats.org/officeDocument/2006/relationships/hyperlink" Target="https://www.bbiri-centre.com/product-page/ra-08h-lorawan-rf-module-with-asr6601-chip-lora-868mhz" TargetMode="External"/><Relationship Id="rId9" Type="http://schemas.openxmlformats.org/officeDocument/2006/relationships/hyperlink" Target="https://www.bbiri-centre.com/product-page/jst-xh-2-0-4-pin-connectors-1" TargetMode="External"/><Relationship Id="rId26" Type="http://schemas.openxmlformats.org/officeDocument/2006/relationships/hyperlink" Target="https://www.bbiri-centre.com/product-page/lm393-new-dual-voltage-comparator-dual-diff-comparator-dip-8" TargetMode="External"/><Relationship Id="rId25" Type="http://schemas.openxmlformats.org/officeDocument/2006/relationships/hyperlink" Target="https://www.bbiri-centre.com/product-page/4s-40a-18650-li-ion-lithium-battery-charger-4s-bms-board" TargetMode="External"/><Relationship Id="rId28" Type="http://schemas.openxmlformats.org/officeDocument/2006/relationships/hyperlink" Target="https://nerikoelectronics.com/product/3-pin-onoff-slide-switch-HveTEN" TargetMode="External"/><Relationship Id="rId27" Type="http://schemas.openxmlformats.org/officeDocument/2006/relationships/hyperlink" Target="https://nerikoelectronics.com/product/blue-2-pin-screw-terminal-block-connector-508mm-pitch-f8gbtA" TargetMode="External"/><Relationship Id="rId5" Type="http://schemas.openxmlformats.org/officeDocument/2006/relationships/hyperlink" Target="https://nerikoelectronics.com/product/micro-sd-card-module-spi-interface-tf-card-reader-535lX4" TargetMode="External"/><Relationship Id="rId6" Type="http://schemas.openxmlformats.org/officeDocument/2006/relationships/hyperlink" Target="https://nerikoelectronics.com/product/5v-max485-rs485-module-ttl-to-rs485-module-RzQphe" TargetMode="External"/><Relationship Id="rId29" Type="http://schemas.openxmlformats.org/officeDocument/2006/relationships/hyperlink" Target="https://www.bbiri-centre.com/product-page/lir2032-rechargeable-button-battery-3-6v-high-quality-lithium-battery" TargetMode="External"/><Relationship Id="rId7" Type="http://schemas.openxmlformats.org/officeDocument/2006/relationships/hyperlink" Target="https://nerikoelectronics.com/product/17-values-1-resistor-kit-assortment-0-ohm-1m-ohm-pack-of-525-WPaFoO" TargetMode="External"/><Relationship Id="rId8" Type="http://schemas.openxmlformats.org/officeDocument/2006/relationships/hyperlink" Target="https://www.bbiri-centre.com/product-page/500pcs-24-values-radial-electrolytic-capacitor-0-1uf-1000uf-assortment-kit" TargetMode="External"/><Relationship Id="rId31" Type="http://schemas.openxmlformats.org/officeDocument/2006/relationships/hyperlink" Target="https://www.bbiri-centre.com/product-page/20cm-dupont-wire-color-jumper-wire-cable-2-54mm-ribbon" TargetMode="External"/><Relationship Id="rId30" Type="http://schemas.openxmlformats.org/officeDocument/2006/relationships/hyperlink" Target="https://www.bbiri-centre.com/product-page/rechargeable-18650-rechargeable-lithium-ion-battery-for-student-projects" TargetMode="External"/><Relationship Id="rId11" Type="http://schemas.openxmlformats.org/officeDocument/2006/relationships/hyperlink" Target="https://www.bbiri-centre.com/product-page/jst-xh-2-0-3-pin-connector-1" TargetMode="External"/><Relationship Id="rId33" Type="http://schemas.openxmlformats.org/officeDocument/2006/relationships/hyperlink" Target="https://www.bbiri-centre.com/product-page/12x18cm-universal-pcb-diy-prototype-board" TargetMode="External"/><Relationship Id="rId10" Type="http://schemas.openxmlformats.org/officeDocument/2006/relationships/hyperlink" Target="https://www.bbiri-centre.com/product-page/jst-ph-2-0-2-pin-connector" TargetMode="External"/><Relationship Id="rId32" Type="http://schemas.openxmlformats.org/officeDocument/2006/relationships/hyperlink" Target="https://www.bbiri-centre.com/product-page/gl-12-840-points-solder-breadboard" TargetMode="External"/><Relationship Id="rId13" Type="http://schemas.openxmlformats.org/officeDocument/2006/relationships/hyperlink" Target="https://www.bbiri-centre.com/product-page/2n2222a-npn-transistor" TargetMode="External"/><Relationship Id="rId35" Type="http://schemas.openxmlformats.org/officeDocument/2006/relationships/hyperlink" Target="https://www.bbiri-centre.com/product-page/1-roll-of-lead-free-solder-wire-sn99-3-solder-wire-0-8mm100g" TargetMode="External"/><Relationship Id="rId12" Type="http://schemas.openxmlformats.org/officeDocument/2006/relationships/hyperlink" Target="https://www.bbiri-centre.com/product-page/momentary-push-button-switch" TargetMode="External"/><Relationship Id="rId34" Type="http://schemas.openxmlformats.org/officeDocument/2006/relationships/hyperlink" Target="https://www.bbiri-centre.com/product-page/wrapping-wire-250m-30-awg-b-30-1000-8-colors" TargetMode="External"/><Relationship Id="rId15" Type="http://schemas.openxmlformats.org/officeDocument/2006/relationships/hyperlink" Target="https://www.bbiri-centre.com/product-page/a3144-hall-effect-sensor" TargetMode="External"/><Relationship Id="rId37" Type="http://schemas.openxmlformats.org/officeDocument/2006/relationships/hyperlink" Target="https://www.bbiri-centre.com/product-page/60w-soldering-iron-kit" TargetMode="External"/><Relationship Id="rId14" Type="http://schemas.openxmlformats.org/officeDocument/2006/relationships/hyperlink" Target="https://www.bbiri-centre.com/product-page/ldr-light-dependent-resistor" TargetMode="External"/><Relationship Id="rId36" Type="http://schemas.openxmlformats.org/officeDocument/2006/relationships/hyperlink" Target="https://www.bbiri-centre.com/product-page/soldering-iron-tip-cleaner" TargetMode="External"/><Relationship Id="rId17" Type="http://schemas.openxmlformats.org/officeDocument/2006/relationships/hyperlink" Target="https://www.bbiri-centre.com/product-page/100pcs-5mm-light-emitting-diode-assorted-color-white-red-yellow-green-blue-kit" TargetMode="External"/><Relationship Id="rId39" Type="http://schemas.openxmlformats.org/officeDocument/2006/relationships/hyperlink" Target="https://www.bbiri-centre.com/product-page/pc817c-optocoupler" TargetMode="External"/><Relationship Id="rId16" Type="http://schemas.openxmlformats.org/officeDocument/2006/relationships/hyperlink" Target="https://nerikoelectronics.com/product/reed-switch-magnetic-sensor-module-iblLbI" TargetMode="External"/><Relationship Id="rId38" Type="http://schemas.openxmlformats.org/officeDocument/2006/relationships/hyperlink" Target="https://www.bbiri-centre.com/product-page/3-7v-li-ion-battery-holder" TargetMode="External"/><Relationship Id="rId19" Type="http://schemas.openxmlformats.org/officeDocument/2006/relationships/hyperlink" Target="https://nerikoelectronics.com/product/blue-2-pin-screw-terminal-block-connector-508mm-pitch-f8gbtA" TargetMode="External"/><Relationship Id="rId18" Type="http://schemas.openxmlformats.org/officeDocument/2006/relationships/hyperlink" Target="https://www.bbiri-centre.com/product-page/1n4007-1a-1000v-general-purpose-rectifier-di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88"/>
    <col customWidth="1" min="5" max="5" width="15.25"/>
    <col customWidth="1" min="6" max="6" width="28.3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>
      <c r="A3" s="4" t="s">
        <v>8</v>
      </c>
      <c r="B3" s="5" t="s">
        <v>9</v>
      </c>
      <c r="C3" s="5">
        <v>1.0</v>
      </c>
      <c r="D3" s="7">
        <v>60000.0</v>
      </c>
      <c r="E3" s="7">
        <f t="shared" ref="E3:E21" si="1">D3*C3</f>
        <v>60000</v>
      </c>
      <c r="F3" s="8" t="s">
        <v>10</v>
      </c>
      <c r="G3" s="6" t="s">
        <v>11</v>
      </c>
    </row>
    <row r="4">
      <c r="A4" s="4" t="s">
        <v>12</v>
      </c>
      <c r="B4" s="5" t="s">
        <v>13</v>
      </c>
      <c r="C4" s="5">
        <v>1.0</v>
      </c>
      <c r="D4" s="7">
        <v>195000.0</v>
      </c>
      <c r="E4" s="7">
        <f t="shared" si="1"/>
        <v>195000</v>
      </c>
      <c r="F4" s="8" t="s">
        <v>14</v>
      </c>
      <c r="G4" s="6" t="s">
        <v>11</v>
      </c>
    </row>
    <row r="5">
      <c r="A5" s="4" t="s">
        <v>15</v>
      </c>
      <c r="B5" s="5" t="s">
        <v>16</v>
      </c>
      <c r="C5" s="5">
        <v>1.0</v>
      </c>
      <c r="D5" s="7">
        <v>22000.0</v>
      </c>
      <c r="E5" s="7">
        <f t="shared" si="1"/>
        <v>22000</v>
      </c>
      <c r="F5" s="8" t="s">
        <v>17</v>
      </c>
      <c r="G5" s="6" t="s">
        <v>11</v>
      </c>
    </row>
    <row r="6">
      <c r="A6" s="4" t="s">
        <v>18</v>
      </c>
      <c r="B6" s="5" t="s">
        <v>19</v>
      </c>
      <c r="C6" s="5">
        <v>1.0</v>
      </c>
      <c r="D6" s="7">
        <v>40000.0</v>
      </c>
      <c r="E6" s="7">
        <f t="shared" si="1"/>
        <v>40000</v>
      </c>
      <c r="F6" s="8" t="s">
        <v>20</v>
      </c>
      <c r="G6" s="6" t="s">
        <v>11</v>
      </c>
    </row>
    <row r="7">
      <c r="A7" s="4" t="s">
        <v>21</v>
      </c>
      <c r="B7" s="5" t="s">
        <v>22</v>
      </c>
      <c r="C7" s="5">
        <v>1.0</v>
      </c>
      <c r="D7" s="7">
        <v>10000.0</v>
      </c>
      <c r="E7" s="7">
        <f t="shared" si="1"/>
        <v>10000</v>
      </c>
      <c r="F7" s="8" t="s">
        <v>23</v>
      </c>
      <c r="G7" s="6" t="s">
        <v>11</v>
      </c>
    </row>
    <row r="8">
      <c r="A8" s="4" t="s">
        <v>24</v>
      </c>
      <c r="B8" s="5" t="s">
        <v>25</v>
      </c>
      <c r="C8" s="5">
        <v>2.0</v>
      </c>
      <c r="D8" s="7">
        <v>10000.0</v>
      </c>
      <c r="E8" s="7">
        <f t="shared" si="1"/>
        <v>20000</v>
      </c>
      <c r="F8" s="8" t="s">
        <v>26</v>
      </c>
      <c r="G8" s="6" t="s">
        <v>11</v>
      </c>
    </row>
    <row r="9">
      <c r="A9" s="4" t="s">
        <v>27</v>
      </c>
      <c r="B9" s="5" t="s">
        <v>28</v>
      </c>
      <c r="C9" s="5">
        <v>1.0</v>
      </c>
      <c r="D9" s="7">
        <v>30000.0</v>
      </c>
      <c r="E9" s="7">
        <f t="shared" si="1"/>
        <v>30000</v>
      </c>
      <c r="F9" s="8" t="s">
        <v>29</v>
      </c>
      <c r="G9" s="6" t="s">
        <v>11</v>
      </c>
    </row>
    <row r="10">
      <c r="A10" s="4" t="s">
        <v>30</v>
      </c>
      <c r="B10" s="5" t="s">
        <v>31</v>
      </c>
      <c r="C10" s="5">
        <v>1.0</v>
      </c>
      <c r="D10" s="7">
        <v>150000.0</v>
      </c>
      <c r="E10" s="7">
        <f t="shared" si="1"/>
        <v>150000</v>
      </c>
      <c r="F10" s="8" t="s">
        <v>32</v>
      </c>
      <c r="G10" s="6" t="s">
        <v>11</v>
      </c>
    </row>
    <row r="11">
      <c r="A11" s="4" t="s">
        <v>33</v>
      </c>
      <c r="B11" s="5" t="s">
        <v>34</v>
      </c>
      <c r="C11" s="5">
        <v>5.0</v>
      </c>
      <c r="D11" s="7">
        <v>3500.0</v>
      </c>
      <c r="E11" s="7">
        <f t="shared" si="1"/>
        <v>17500</v>
      </c>
      <c r="F11" s="8" t="s">
        <v>35</v>
      </c>
      <c r="G11" s="6" t="s">
        <v>11</v>
      </c>
    </row>
    <row r="12">
      <c r="A12" s="4" t="s">
        <v>36</v>
      </c>
      <c r="B12" s="5" t="s">
        <v>37</v>
      </c>
      <c r="C12" s="5">
        <v>5.0</v>
      </c>
      <c r="D12" s="7">
        <v>1500.0</v>
      </c>
      <c r="E12" s="7">
        <f t="shared" si="1"/>
        <v>7500</v>
      </c>
      <c r="F12" s="8" t="s">
        <v>38</v>
      </c>
      <c r="G12" s="6" t="s">
        <v>11</v>
      </c>
    </row>
    <row r="13">
      <c r="A13" s="4" t="s">
        <v>39</v>
      </c>
      <c r="B13" s="5" t="s">
        <v>40</v>
      </c>
      <c r="C13" s="5">
        <v>5.0</v>
      </c>
      <c r="D13" s="7">
        <v>2500.0</v>
      </c>
      <c r="E13" s="7">
        <f t="shared" si="1"/>
        <v>12500</v>
      </c>
      <c r="F13" s="8" t="s">
        <v>41</v>
      </c>
      <c r="G13" s="6" t="s">
        <v>11</v>
      </c>
    </row>
    <row r="14">
      <c r="A14" s="4" t="s">
        <v>42</v>
      </c>
      <c r="B14" s="5" t="s">
        <v>42</v>
      </c>
      <c r="C14" s="5">
        <v>10.0</v>
      </c>
      <c r="D14" s="5">
        <v>500.0</v>
      </c>
      <c r="E14" s="7">
        <f t="shared" si="1"/>
        <v>5000</v>
      </c>
      <c r="F14" s="8" t="s">
        <v>43</v>
      </c>
      <c r="G14" s="6" t="s">
        <v>11</v>
      </c>
    </row>
    <row r="15">
      <c r="A15" s="4" t="s">
        <v>44</v>
      </c>
      <c r="B15" s="5" t="s">
        <v>45</v>
      </c>
      <c r="C15" s="5">
        <v>10.0</v>
      </c>
      <c r="D15" s="5">
        <v>500.0</v>
      </c>
      <c r="E15" s="7">
        <f t="shared" si="1"/>
        <v>5000</v>
      </c>
      <c r="F15" s="8" t="s">
        <v>46</v>
      </c>
      <c r="G15" s="6" t="s">
        <v>11</v>
      </c>
    </row>
    <row r="16">
      <c r="A16" s="4" t="s">
        <v>47</v>
      </c>
      <c r="B16" s="5" t="s">
        <v>48</v>
      </c>
      <c r="C16" s="5">
        <v>5.0</v>
      </c>
      <c r="D16" s="5">
        <v>1000.0</v>
      </c>
      <c r="E16" s="7">
        <f t="shared" si="1"/>
        <v>5000</v>
      </c>
      <c r="F16" s="8" t="s">
        <v>49</v>
      </c>
      <c r="G16" s="6" t="s">
        <v>11</v>
      </c>
    </row>
    <row r="17">
      <c r="A17" s="4" t="s">
        <v>50</v>
      </c>
      <c r="B17" s="5" t="s">
        <v>51</v>
      </c>
      <c r="C17" s="5">
        <v>2.0</v>
      </c>
      <c r="D17" s="7">
        <v>4500.0</v>
      </c>
      <c r="E17" s="7">
        <f t="shared" si="1"/>
        <v>9000</v>
      </c>
      <c r="F17" s="8" t="s">
        <v>52</v>
      </c>
      <c r="G17" s="6" t="s">
        <v>11</v>
      </c>
    </row>
    <row r="18">
      <c r="A18" s="4" t="s">
        <v>53</v>
      </c>
      <c r="B18" s="5" t="s">
        <v>54</v>
      </c>
      <c r="C18" s="5">
        <v>1.0</v>
      </c>
      <c r="D18" s="7">
        <v>6000.0</v>
      </c>
      <c r="E18" s="7">
        <f t="shared" si="1"/>
        <v>6000</v>
      </c>
      <c r="F18" s="8" t="s">
        <v>55</v>
      </c>
      <c r="G18" s="6" t="s">
        <v>11</v>
      </c>
    </row>
    <row r="19">
      <c r="A19" s="4" t="s">
        <v>56</v>
      </c>
      <c r="B19" s="5" t="s">
        <v>57</v>
      </c>
      <c r="C19" s="5">
        <v>1.0</v>
      </c>
      <c r="D19" s="7">
        <v>35000.0</v>
      </c>
      <c r="E19" s="7">
        <f t="shared" si="1"/>
        <v>35000</v>
      </c>
      <c r="F19" s="8" t="s">
        <v>58</v>
      </c>
      <c r="G19" s="6" t="s">
        <v>11</v>
      </c>
    </row>
    <row r="20">
      <c r="A20" s="4" t="s">
        <v>59</v>
      </c>
      <c r="B20" s="5" t="s">
        <v>60</v>
      </c>
      <c r="C20" s="5">
        <v>10.0</v>
      </c>
      <c r="D20" s="5">
        <v>500.0</v>
      </c>
      <c r="E20" s="7">
        <f t="shared" si="1"/>
        <v>5000</v>
      </c>
      <c r="F20" s="8" t="s">
        <v>61</v>
      </c>
      <c r="G20" s="6" t="s">
        <v>11</v>
      </c>
    </row>
    <row r="21">
      <c r="A21" s="4" t="s">
        <v>62</v>
      </c>
      <c r="C21" s="5">
        <v>10.0</v>
      </c>
      <c r="D21" s="7">
        <v>1500.0</v>
      </c>
      <c r="E21" s="7">
        <f t="shared" si="1"/>
        <v>15000</v>
      </c>
      <c r="F21" s="8" t="s">
        <v>63</v>
      </c>
      <c r="G21" s="6" t="s">
        <v>11</v>
      </c>
    </row>
    <row r="22">
      <c r="A22" s="9" t="s">
        <v>64</v>
      </c>
      <c r="B22" s="10"/>
      <c r="C22" s="10"/>
      <c r="D22" s="10"/>
      <c r="E22" s="11">
        <f>SUM(E3:E21)</f>
        <v>649500</v>
      </c>
      <c r="F22" s="12"/>
      <c r="G22" s="13"/>
    </row>
    <row r="23">
      <c r="E23" s="7"/>
    </row>
    <row r="24">
      <c r="A24" s="1" t="s">
        <v>65</v>
      </c>
      <c r="B24" s="2"/>
      <c r="C24" s="2"/>
      <c r="D24" s="2"/>
      <c r="E24" s="2"/>
      <c r="F24" s="2"/>
      <c r="G24" s="3"/>
    </row>
    <row r="25">
      <c r="A25" s="4" t="s">
        <v>66</v>
      </c>
      <c r="B25" s="5" t="s">
        <v>67</v>
      </c>
      <c r="C25" s="5" t="s">
        <v>68</v>
      </c>
      <c r="D25" s="5" t="s">
        <v>69</v>
      </c>
      <c r="E25" s="7" t="s">
        <v>5</v>
      </c>
      <c r="F25" s="5" t="s">
        <v>6</v>
      </c>
      <c r="G25" s="6" t="s">
        <v>7</v>
      </c>
    </row>
    <row r="26">
      <c r="A26" s="4" t="s">
        <v>70</v>
      </c>
      <c r="B26" s="5" t="s">
        <v>71</v>
      </c>
      <c r="C26" s="5">
        <v>2.0</v>
      </c>
      <c r="D26" s="7">
        <v>59000.0</v>
      </c>
      <c r="E26" s="7">
        <f t="shared" ref="E26:E45" si="2">D26*C26</f>
        <v>118000</v>
      </c>
      <c r="F26" s="8" t="s">
        <v>72</v>
      </c>
      <c r="G26" s="6" t="s">
        <v>73</v>
      </c>
    </row>
    <row r="27">
      <c r="A27" s="4" t="s">
        <v>74</v>
      </c>
      <c r="B27" s="5" t="s">
        <v>75</v>
      </c>
      <c r="C27" s="5">
        <v>2.0</v>
      </c>
      <c r="D27" s="7">
        <v>20000.0</v>
      </c>
      <c r="E27" s="7">
        <f t="shared" si="2"/>
        <v>40000</v>
      </c>
      <c r="F27" s="8" t="s">
        <v>76</v>
      </c>
      <c r="G27" s="6" t="s">
        <v>11</v>
      </c>
    </row>
    <row r="28">
      <c r="A28" s="4" t="s">
        <v>77</v>
      </c>
      <c r="B28" s="5" t="s">
        <v>78</v>
      </c>
      <c r="C28" s="5">
        <v>4.0</v>
      </c>
      <c r="D28" s="7">
        <v>4000.0</v>
      </c>
      <c r="E28" s="7">
        <f t="shared" si="2"/>
        <v>16000</v>
      </c>
      <c r="F28" s="8" t="s">
        <v>79</v>
      </c>
      <c r="G28" s="6" t="s">
        <v>11</v>
      </c>
    </row>
    <row r="29">
      <c r="A29" s="4" t="s">
        <v>80</v>
      </c>
      <c r="B29" s="5" t="s">
        <v>81</v>
      </c>
      <c r="C29" s="5">
        <v>4.0</v>
      </c>
      <c r="D29" s="7">
        <v>5000.0</v>
      </c>
      <c r="E29" s="7">
        <f t="shared" si="2"/>
        <v>20000</v>
      </c>
      <c r="F29" s="8" t="s">
        <v>82</v>
      </c>
      <c r="G29" s="6" t="s">
        <v>11</v>
      </c>
    </row>
    <row r="30">
      <c r="A30" s="4" t="s">
        <v>83</v>
      </c>
      <c r="B30" s="5" t="s">
        <v>84</v>
      </c>
      <c r="C30" s="5">
        <v>1.0</v>
      </c>
      <c r="D30" s="7">
        <v>40000.0</v>
      </c>
      <c r="E30" s="7">
        <f t="shared" si="2"/>
        <v>40000</v>
      </c>
      <c r="F30" s="8" t="s">
        <v>85</v>
      </c>
      <c r="G30" s="6" t="s">
        <v>11</v>
      </c>
    </row>
    <row r="31">
      <c r="A31" s="4" t="s">
        <v>86</v>
      </c>
      <c r="B31" s="5" t="s">
        <v>87</v>
      </c>
      <c r="C31" s="5">
        <v>1.0</v>
      </c>
      <c r="D31" s="7">
        <v>40000.0</v>
      </c>
      <c r="E31" s="7">
        <f t="shared" si="2"/>
        <v>40000</v>
      </c>
      <c r="F31" s="8" t="s">
        <v>88</v>
      </c>
      <c r="G31" s="6" t="s">
        <v>11</v>
      </c>
    </row>
    <row r="32">
      <c r="A32" s="4" t="s">
        <v>89</v>
      </c>
      <c r="B32" s="5" t="s">
        <v>90</v>
      </c>
      <c r="C32" s="5">
        <v>5.0</v>
      </c>
      <c r="D32" s="7">
        <v>1500.0</v>
      </c>
      <c r="E32" s="7">
        <f t="shared" si="2"/>
        <v>7500</v>
      </c>
      <c r="F32" s="8" t="s">
        <v>91</v>
      </c>
      <c r="G32" s="6" t="s">
        <v>11</v>
      </c>
    </row>
    <row r="33">
      <c r="A33" s="4" t="s">
        <v>62</v>
      </c>
      <c r="C33" s="5">
        <v>2.0</v>
      </c>
      <c r="D33" s="7">
        <v>1500.0</v>
      </c>
      <c r="E33" s="7">
        <f t="shared" si="2"/>
        <v>3000</v>
      </c>
      <c r="F33" s="8" t="s">
        <v>63</v>
      </c>
      <c r="G33" s="6" t="s">
        <v>11</v>
      </c>
    </row>
    <row r="34">
      <c r="A34" s="4" t="s">
        <v>92</v>
      </c>
      <c r="B34" s="5" t="s">
        <v>93</v>
      </c>
      <c r="C34" s="5">
        <v>5.0</v>
      </c>
      <c r="D34" s="7">
        <v>2000.0</v>
      </c>
      <c r="E34" s="7">
        <f t="shared" si="2"/>
        <v>10000</v>
      </c>
      <c r="F34" s="8" t="s">
        <v>94</v>
      </c>
      <c r="G34" s="6" t="s">
        <v>11</v>
      </c>
    </row>
    <row r="35">
      <c r="A35" s="4" t="s">
        <v>95</v>
      </c>
      <c r="B35" s="5" t="s">
        <v>96</v>
      </c>
      <c r="C35" s="5">
        <v>2.0</v>
      </c>
      <c r="D35" s="7">
        <v>5000.0</v>
      </c>
      <c r="E35" s="7">
        <f t="shared" si="2"/>
        <v>10000</v>
      </c>
      <c r="F35" s="8" t="s">
        <v>97</v>
      </c>
      <c r="G35" s="6" t="s">
        <v>11</v>
      </c>
    </row>
    <row r="36">
      <c r="A36" s="4" t="s">
        <v>98</v>
      </c>
      <c r="B36" s="5"/>
      <c r="C36" s="5">
        <v>10.0</v>
      </c>
      <c r="D36" s="7">
        <v>5000.0</v>
      </c>
      <c r="E36" s="7">
        <f t="shared" si="2"/>
        <v>50000</v>
      </c>
      <c r="F36" s="8" t="s">
        <v>99</v>
      </c>
      <c r="G36" s="6" t="s">
        <v>11</v>
      </c>
    </row>
    <row r="37">
      <c r="A37" s="4" t="s">
        <v>100</v>
      </c>
      <c r="B37" s="5"/>
      <c r="C37" s="5">
        <v>3.0</v>
      </c>
      <c r="D37" s="7">
        <v>10000.0</v>
      </c>
      <c r="E37" s="7">
        <f t="shared" si="2"/>
        <v>30000</v>
      </c>
      <c r="F37" s="8" t="s">
        <v>101</v>
      </c>
      <c r="G37" s="6" t="s">
        <v>11</v>
      </c>
    </row>
    <row r="38">
      <c r="A38" s="4" t="s">
        <v>102</v>
      </c>
      <c r="B38" s="5"/>
      <c r="C38" s="5">
        <v>2.0</v>
      </c>
      <c r="D38" s="7">
        <v>10000.0</v>
      </c>
      <c r="E38" s="7">
        <f t="shared" si="2"/>
        <v>20000</v>
      </c>
      <c r="F38" s="8" t="s">
        <v>103</v>
      </c>
      <c r="G38" s="6" t="s">
        <v>11</v>
      </c>
    </row>
    <row r="39">
      <c r="A39" s="4" t="s">
        <v>104</v>
      </c>
      <c r="B39" s="5" t="s">
        <v>105</v>
      </c>
      <c r="C39" s="5">
        <v>4.0</v>
      </c>
      <c r="D39" s="7">
        <v>6000.0</v>
      </c>
      <c r="E39" s="7">
        <f t="shared" si="2"/>
        <v>24000</v>
      </c>
      <c r="F39" s="8" t="s">
        <v>106</v>
      </c>
      <c r="G39" s="6" t="s">
        <v>11</v>
      </c>
    </row>
    <row r="40">
      <c r="A40" s="4" t="s">
        <v>107</v>
      </c>
      <c r="B40" s="5" t="s">
        <v>108</v>
      </c>
      <c r="C40" s="5">
        <v>1.0</v>
      </c>
      <c r="D40" s="7">
        <v>27000.0</v>
      </c>
      <c r="E40" s="7">
        <f t="shared" si="2"/>
        <v>27000</v>
      </c>
      <c r="F40" s="8" t="s">
        <v>109</v>
      </c>
      <c r="G40" s="6" t="s">
        <v>11</v>
      </c>
    </row>
    <row r="41">
      <c r="A41" s="4" t="s">
        <v>110</v>
      </c>
      <c r="B41" s="5" t="s">
        <v>111</v>
      </c>
      <c r="C41" s="5">
        <v>1.0</v>
      </c>
      <c r="D41" s="7">
        <v>30000.0</v>
      </c>
      <c r="E41" s="7">
        <f t="shared" si="2"/>
        <v>30000</v>
      </c>
      <c r="F41" s="8" t="s">
        <v>112</v>
      </c>
      <c r="G41" s="6" t="s">
        <v>11</v>
      </c>
    </row>
    <row r="42">
      <c r="A42" s="4" t="s">
        <v>113</v>
      </c>
      <c r="B42" s="5"/>
      <c r="C42" s="5">
        <v>1.0</v>
      </c>
      <c r="D42" s="7">
        <v>20000.0</v>
      </c>
      <c r="E42" s="7">
        <f t="shared" si="2"/>
        <v>20000</v>
      </c>
      <c r="F42" s="8" t="s">
        <v>114</v>
      </c>
      <c r="G42" s="6" t="s">
        <v>11</v>
      </c>
    </row>
    <row r="43">
      <c r="A43" s="4" t="s">
        <v>115</v>
      </c>
      <c r="B43" s="5"/>
      <c r="C43" s="5">
        <v>1.0</v>
      </c>
      <c r="D43" s="7">
        <v>50000.0</v>
      </c>
      <c r="E43" s="7">
        <f t="shared" si="2"/>
        <v>50000</v>
      </c>
      <c r="F43" s="8" t="s">
        <v>116</v>
      </c>
      <c r="G43" s="6" t="s">
        <v>11</v>
      </c>
    </row>
    <row r="44">
      <c r="A44" s="4" t="s">
        <v>117</v>
      </c>
      <c r="B44" s="5" t="s">
        <v>118</v>
      </c>
      <c r="C44" s="5">
        <v>3.0</v>
      </c>
      <c r="D44" s="7">
        <v>6000.0</v>
      </c>
      <c r="E44" s="7">
        <f t="shared" si="2"/>
        <v>18000</v>
      </c>
      <c r="F44" s="8" t="s">
        <v>119</v>
      </c>
      <c r="G44" s="6" t="s">
        <v>11</v>
      </c>
    </row>
    <row r="45">
      <c r="A45" s="4" t="s">
        <v>120</v>
      </c>
      <c r="B45" s="5" t="s">
        <v>121</v>
      </c>
      <c r="C45" s="5">
        <v>5.0</v>
      </c>
      <c r="D45" s="7">
        <v>1000.0</v>
      </c>
      <c r="E45" s="7">
        <f t="shared" si="2"/>
        <v>5000</v>
      </c>
      <c r="F45" s="8" t="s">
        <v>122</v>
      </c>
      <c r="G45" s="6" t="s">
        <v>11</v>
      </c>
    </row>
    <row r="46">
      <c r="A46" s="4"/>
      <c r="B46" s="5"/>
      <c r="C46" s="5"/>
      <c r="D46" s="7"/>
      <c r="E46" s="7"/>
      <c r="F46" s="5"/>
      <c r="G46" s="6"/>
    </row>
    <row r="47">
      <c r="A47" s="4" t="s">
        <v>123</v>
      </c>
      <c r="B47" s="5"/>
      <c r="C47" s="5">
        <v>1.0</v>
      </c>
      <c r="D47" s="7">
        <v>10000.0</v>
      </c>
      <c r="E47" s="7">
        <f t="shared" ref="E47:E48" si="3">D47*C47</f>
        <v>10000</v>
      </c>
      <c r="F47" s="8" t="s">
        <v>124</v>
      </c>
      <c r="G47" s="6" t="s">
        <v>11</v>
      </c>
    </row>
    <row r="48">
      <c r="A48" s="4" t="s">
        <v>125</v>
      </c>
      <c r="B48" s="5" t="s">
        <v>126</v>
      </c>
      <c r="C48" s="5">
        <v>5.0</v>
      </c>
      <c r="D48" s="7">
        <v>2500.0</v>
      </c>
      <c r="E48" s="7">
        <f t="shared" si="3"/>
        <v>12500</v>
      </c>
      <c r="F48" s="8" t="s">
        <v>127</v>
      </c>
      <c r="G48" s="6" t="s">
        <v>11</v>
      </c>
    </row>
    <row r="49">
      <c r="A49" s="9" t="s">
        <v>128</v>
      </c>
      <c r="B49" s="10"/>
      <c r="C49" s="10"/>
      <c r="D49" s="10"/>
      <c r="E49" s="14">
        <f>SUM(E26:E48)</f>
        <v>601000</v>
      </c>
      <c r="F49" s="12"/>
      <c r="G49" s="13"/>
    </row>
    <row r="53">
      <c r="A53" s="15" t="s">
        <v>129</v>
      </c>
      <c r="B53" s="16" t="s">
        <v>130</v>
      </c>
      <c r="C53" s="17">
        <v>1.0</v>
      </c>
      <c r="D53" s="18">
        <v>1156768.6</v>
      </c>
      <c r="E53" s="19">
        <v>1156769.0</v>
      </c>
    </row>
    <row r="55">
      <c r="A55" s="5" t="s">
        <v>131</v>
      </c>
      <c r="E55" s="20">
        <f>E49+E22+E53</f>
        <v>2407269</v>
      </c>
    </row>
  </sheetData>
  <mergeCells count="4">
    <mergeCell ref="A1:G1"/>
    <mergeCell ref="A22:D22"/>
    <mergeCell ref="A24:G24"/>
    <mergeCell ref="A49:D49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6"/>
    <hyperlink r:id="rId21" ref="F27"/>
    <hyperlink r:id="rId22" ref="F28"/>
    <hyperlink r:id="rId23" ref="F29"/>
    <hyperlink r:id="rId24" ref="F30"/>
    <hyperlink r:id="rId25" ref="F31"/>
    <hyperlink r:id="rId26" ref="F32"/>
    <hyperlink r:id="rId27" ref="F33"/>
    <hyperlink r:id="rId28" ref="F34"/>
    <hyperlink r:id="rId29" ref="F35"/>
    <hyperlink r:id="rId30" ref="F36"/>
    <hyperlink r:id="rId31" ref="F37"/>
    <hyperlink r:id="rId32" ref="F38"/>
    <hyperlink r:id="rId33" ref="F39"/>
    <hyperlink r:id="rId34" ref="F40"/>
    <hyperlink r:id="rId35" ref="F41"/>
    <hyperlink r:id="rId36" ref="F42"/>
    <hyperlink r:id="rId37" ref="F43"/>
    <hyperlink r:id="rId38" ref="F44"/>
    <hyperlink r:id="rId39" ref="F45"/>
    <hyperlink r:id="rId40" ref="F47"/>
    <hyperlink r:id="rId41" ref="F48"/>
  </hyperlinks>
  <drawing r:id="rId42"/>
</worksheet>
</file>